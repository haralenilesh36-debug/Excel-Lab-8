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0490" windowHeight="7500"/>
  </bookViews>
  <sheets>
    <sheet name="Sheet2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<sst xmlns="http://schemas.openxmlformats.org/spreadsheetml/2006/main" count="54" uniqueCount="28">
  <si>
    <t>Employee</t>
  </si>
  <si>
    <t>Department</t>
  </si>
  <si>
    <t>Salary</t>
  </si>
  <si>
    <t>Sales</t>
  </si>
  <si>
    <t>Performance Score</t>
  </si>
  <si>
    <t>For Sales</t>
  </si>
  <si>
    <t>VLOOKUP</t>
  </si>
  <si>
    <t>MATCH / INDEX / COMBINED</t>
  </si>
  <si>
    <t>MATCH / INDEX</t>
  </si>
  <si>
    <t>Rahul</t>
  </si>
  <si>
    <t>Priya</t>
  </si>
  <si>
    <t>HR</t>
  </si>
  <si>
    <t>Amit</t>
  </si>
  <si>
    <t>For Department</t>
  </si>
  <si>
    <t>Sneha</t>
  </si>
  <si>
    <t>IT</t>
  </si>
  <si>
    <t>Karan</t>
  </si>
  <si>
    <t>Neha</t>
  </si>
  <si>
    <t>For Performance Score</t>
  </si>
  <si>
    <t>For Salary</t>
  </si>
  <si>
    <t>Rohit</t>
  </si>
  <si>
    <t>Pooja</t>
  </si>
  <si>
    <t>HLOOKUP</t>
  </si>
  <si>
    <t>Akash</t>
  </si>
  <si>
    <t>For Employee</t>
  </si>
  <si>
    <t>Meena</t>
  </si>
  <si>
    <t>XLOOKUP</t>
  </si>
  <si>
    <t>COMBINED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</si>
</sst>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Aptos Narrow"/>
      <charset val="134"/>
      <scheme val="minor"/>
    </font>
    <font>
      <sz val="11"/>
      <color rgb="FFFF0000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7" borderId="1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13" applyNumberFormat="0" applyFill="0" applyAlignment="0" applyProtection="0">
      <alignment vertical="center"/>
    </xf>
    <xf numFmtId="0" fontId="8" fillId="0" borderId="13" applyNumberFormat="0" applyFill="0" applyAlignment="0" applyProtection="0">
      <alignment vertical="center"/>
    </xf>
    <xf numFmtId="0" fontId="9" fillId="0" borderId="1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8" borderId="15" applyNumberFormat="0" applyAlignment="0" applyProtection="0">
      <alignment vertical="center"/>
    </xf>
    <xf numFmtId="0" fontId="11" fillId="9" borderId="16" applyNumberFormat="0" applyAlignment="0" applyProtection="0">
      <alignment vertical="center"/>
    </xf>
    <xf numFmtId="0" fontId="12" fillId="9" borderId="15" applyNumberFormat="0" applyAlignment="0" applyProtection="0">
      <alignment vertical="center"/>
    </xf>
    <xf numFmtId="0" fontId="13" fillId="10" borderId="17" applyNumberFormat="0" applyAlignment="0" applyProtection="0">
      <alignment vertical="center"/>
    </xf>
    <xf numFmtId="0" fontId="14" fillId="0" borderId="18" applyNumberFormat="0" applyFill="0" applyAlignment="0" applyProtection="0">
      <alignment vertical="center"/>
    </xf>
    <xf numFmtId="0" fontId="15" fillId="0" borderId="19" applyNumberFormat="0" applyFill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19" fillId="37" borderId="0" applyNumberFormat="0" applyBorder="0" applyAlignment="0" applyProtection="0">
      <alignment vertical="center"/>
    </xf>
  </cellStyleXfs>
  <cellXfs count="40">
    <xf numFmtId="0" fontId="0" fillId="0" borderId="0" xfId="0"/>
    <xf numFmtId="0" fontId="0" fillId="2" borderId="1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2" borderId="3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0" borderId="3" xfId="0" applyBorder="1"/>
    <xf numFmtId="0" fontId="0" fillId="0" borderId="2" xfId="0" applyBorder="1"/>
    <xf numFmtId="0" fontId="0" fillId="2" borderId="4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1" fillId="0" borderId="4" xfId="0" applyFont="1" applyBorder="1" applyAlignment="1">
      <alignment horizontal="center" vertical="center"/>
    </xf>
    <xf numFmtId="0" fontId="0" fillId="2" borderId="0" xfId="0" applyFill="1" applyBorder="1"/>
    <xf numFmtId="0" fontId="0" fillId="4" borderId="4" xfId="0" applyFill="1" applyBorder="1" applyAlignment="1">
      <alignment horizontal="center"/>
    </xf>
    <xf numFmtId="0" fontId="0" fillId="0" borderId="5" xfId="0" applyBorder="1"/>
    <xf numFmtId="0" fontId="0" fillId="2" borderId="6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1" fillId="0" borderId="8" xfId="0" applyFont="1" applyBorder="1" applyAlignment="1">
      <alignment horizontal="center" vertical="center"/>
    </xf>
    <xf numFmtId="0" fontId="0" fillId="2" borderId="6" xfId="0" applyFill="1" applyBorder="1"/>
    <xf numFmtId="0" fontId="0" fillId="5" borderId="5" xfId="0" applyFill="1" applyBorder="1" applyAlignment="1">
      <alignment horizontal="center"/>
    </xf>
    <xf numFmtId="0" fontId="0" fillId="2" borderId="4" xfId="0" applyFill="1" applyBorder="1"/>
    <xf numFmtId="0" fontId="0" fillId="4" borderId="4" xfId="0" applyFill="1" applyBorder="1"/>
    <xf numFmtId="0" fontId="0" fillId="5" borderId="5" xfId="0" applyFill="1" applyBorder="1"/>
    <xf numFmtId="0" fontId="0" fillId="2" borderId="5" xfId="0" applyFill="1" applyBorder="1"/>
    <xf numFmtId="0" fontId="0" fillId="4" borderId="5" xfId="0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4" borderId="9" xfId="0" applyFill="1" applyBorder="1" applyAlignment="1">
      <alignment horizontal="center"/>
    </xf>
    <xf numFmtId="0" fontId="0" fillId="4" borderId="10" xfId="0" applyFill="1" applyBorder="1" applyAlignment="1">
      <alignment horizontal="center"/>
    </xf>
    <xf numFmtId="0" fontId="0" fillId="6" borderId="2" xfId="0" applyFill="1" applyBorder="1" applyAlignment="1">
      <alignment horizontal="center"/>
    </xf>
    <xf numFmtId="0" fontId="1" fillId="0" borderId="11" xfId="0" applyFont="1" applyBorder="1" applyAlignment="1">
      <alignment horizontal="center" vertical="center"/>
    </xf>
    <xf numFmtId="0" fontId="0" fillId="2" borderId="8" xfId="0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0" fillId="0" borderId="8" xfId="0" applyBorder="1"/>
    <xf numFmtId="0" fontId="0" fillId="0" borderId="7" xfId="0" applyBorder="1"/>
    <xf numFmtId="0" fontId="0" fillId="6" borderId="5" xfId="0" applyFill="1" applyBorder="1" applyAlignment="1">
      <alignment horizontal="center"/>
    </xf>
    <xf numFmtId="0" fontId="0" fillId="6" borderId="5" xfId="0" applyFill="1" applyBorder="1"/>
    <xf numFmtId="0" fontId="0" fillId="5" borderId="7" xfId="0" applyFill="1" applyBorder="1" applyAlignment="1">
      <alignment horizontal="center"/>
    </xf>
    <xf numFmtId="0" fontId="1" fillId="0" borderId="6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6" borderId="7" xfId="0" applyFill="1" applyBorder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1" defaultTableStyle="TableStyleMedium2" defaultPivotStyle="PivotStyleLight16">
    <tableStyle name="Invisible" pivot="0" table="0" count="0" xr9:uid="{46BECFB3-1A80-4ABE-B692-BFAC792AC974}"/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eetMetadata" Target="metadata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2" name="Table13" displayName="Table13" ref="A1:E12" totalsRowShown="0">
  <autoFilter xmlns:etc="http://www.wps.cn/officeDocument/2017/etCustomData" ref="A1:E12" etc:filterBottomFollowUsedRange="0"/>
  <tableColumns count="5">
    <tableColumn id="1" name="Employee"/>
    <tableColumn id="2" name="Department"/>
    <tableColumn id="3" name="Salary"/>
    <tableColumn id="4" name="Sales"/>
    <tableColumn id="5" name="Performance Sco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9"/>
  <sheetViews>
    <sheetView tabSelected="1" workbookViewId="0">
      <selection activeCell="N15" sqref="N15"/>
    </sheetView>
  </sheetViews>
  <sheetFormatPr defaultColWidth="9" defaultRowHeight="14.25"/>
  <cols>
    <col min="1" max="1" width="21.875" customWidth="1"/>
    <col min="2" max="2" width="13.2166666666667" customWidth="1"/>
    <col min="3" max="3" width="10.25" customWidth="1"/>
    <col min="4" max="4" width="14.75" customWidth="1"/>
    <col min="5" max="5" width="19.1083333333333" customWidth="1"/>
    <col min="7" max="7" width="23.75" customWidth="1"/>
    <col min="9" max="9" width="10.25" customWidth="1"/>
    <col min="10" max="10" width="21.875" customWidth="1"/>
    <col min="12" max="12" width="27.5" customWidth="1"/>
    <col min="13" max="13" width="13.875" customWidth="1"/>
  </cols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G1" s="1" t="s">
        <v>5</v>
      </c>
      <c r="H1" s="2">
        <f>VLOOKUP("Sneha",A1:E12,4,FALSE)</f>
        <v>70000</v>
      </c>
      <c r="I1" s="3" t="s">
        <v>6</v>
      </c>
      <c r="J1" s="1" t="s">
        <v>5</v>
      </c>
      <c r="K1" s="2">
        <f>VLOOKUP(A2,A1:E12,4,FALSE)</f>
        <v>85000</v>
      </c>
      <c r="L1" s="4" t="s">
        <v>7</v>
      </c>
      <c r="M1" s="5" t="s">
        <v>8</v>
      </c>
      <c r="N1" s="6">
        <f>MATCH("Rahul",A1:A12,0)</f>
        <v>2</v>
      </c>
      <c r="O1" s="7"/>
      <c r="P1" s="7"/>
      <c r="Q1" s="7"/>
      <c r="R1" s="8"/>
    </row>
    <row r="2" spans="1:18">
      <c r="A2" t="s">
        <v>9</v>
      </c>
      <c r="B2" t="s">
        <v>3</v>
      </c>
      <c r="C2">
        <v>35000</v>
      </c>
      <c r="D2">
        <v>85000</v>
      </c>
      <c r="E2">
        <v>82</v>
      </c>
      <c r="G2" s="9"/>
      <c r="H2" s="10"/>
      <c r="I2" s="3"/>
      <c r="J2" s="9"/>
      <c r="K2" s="10"/>
      <c r="L2" s="11"/>
      <c r="M2" s="12"/>
      <c r="N2" s="13" t="str" cm="1">
        <f t="array" ref="N2">INDEX(A1:E12,N1,1)</f>
        <v>Rahul</v>
      </c>
      <c r="R2" s="14"/>
    </row>
    <row r="3" spans="1:18">
      <c r="A3" t="s">
        <v>10</v>
      </c>
      <c r="B3" t="s">
        <v>11</v>
      </c>
      <c r="C3">
        <v>40000</v>
      </c>
      <c r="D3">
        <v>60000</v>
      </c>
      <c r="E3">
        <v>75</v>
      </c>
      <c r="G3" s="9"/>
      <c r="H3" s="10"/>
      <c r="I3" s="3"/>
      <c r="J3" s="9"/>
      <c r="K3" s="10"/>
      <c r="L3" s="11"/>
      <c r="M3" s="12"/>
      <c r="N3" s="13"/>
      <c r="R3" s="14"/>
    </row>
    <row r="4" spans="1:18">
      <c r="A4" t="s">
        <v>12</v>
      </c>
      <c r="B4" t="s">
        <v>3</v>
      </c>
      <c r="C4">
        <v>45000</v>
      </c>
      <c r="D4">
        <v>95000</v>
      </c>
      <c r="E4">
        <v>91</v>
      </c>
      <c r="G4" s="9" t="s">
        <v>13</v>
      </c>
      <c r="H4" s="10" t="str">
        <f>VLOOKUP(A5,A1:E12,2,FALSE)</f>
        <v>IT</v>
      </c>
      <c r="I4" s="3"/>
      <c r="J4" s="9" t="s">
        <v>13</v>
      </c>
      <c r="K4" s="10" t="str">
        <f>VLOOKUP("Rohit",A1:E12,2,FALSE)</f>
        <v>IT</v>
      </c>
      <c r="L4" s="11"/>
      <c r="M4" s="12"/>
      <c r="N4" s="13"/>
      <c r="R4" s="14"/>
    </row>
    <row r="5" spans="1:18">
      <c r="A5" t="s">
        <v>14</v>
      </c>
      <c r="B5" t="s">
        <v>15</v>
      </c>
      <c r="C5">
        <v>50000</v>
      </c>
      <c r="D5">
        <v>70000</v>
      </c>
      <c r="E5">
        <v>88</v>
      </c>
      <c r="G5" s="9"/>
      <c r="H5" s="10"/>
      <c r="I5" s="3"/>
      <c r="J5" s="9"/>
      <c r="K5" s="10"/>
      <c r="L5" s="11"/>
      <c r="M5" s="12" t="s">
        <v>8</v>
      </c>
      <c r="N5" s="13">
        <f>MATCH("Sneha",A1:A12,0)</f>
        <v>5</v>
      </c>
      <c r="R5" s="14"/>
    </row>
    <row r="6" spans="1:18">
      <c r="A6" t="s">
        <v>16</v>
      </c>
      <c r="B6" t="s">
        <v>3</v>
      </c>
      <c r="C6">
        <v>38000</v>
      </c>
      <c r="D6">
        <v>78000</v>
      </c>
      <c r="E6">
        <v>72</v>
      </c>
      <c r="G6" s="9"/>
      <c r="H6" s="10"/>
      <c r="I6" s="3"/>
      <c r="J6" s="9"/>
      <c r="K6" s="10"/>
      <c r="L6" s="11"/>
      <c r="M6" s="12"/>
      <c r="N6" s="13" t="str" cm="1">
        <f t="array" ref="N6">INDEX(A1:E12,N5,1)</f>
        <v>Sneha</v>
      </c>
      <c r="R6" s="14"/>
    </row>
    <row r="7" spans="1:18">
      <c r="A7" t="s">
        <v>17</v>
      </c>
      <c r="B7" t="s">
        <v>11</v>
      </c>
      <c r="C7">
        <v>42000</v>
      </c>
      <c r="D7">
        <v>65000</v>
      </c>
      <c r="E7">
        <v>80</v>
      </c>
      <c r="G7" s="9" t="s">
        <v>18</v>
      </c>
      <c r="H7" s="10">
        <f>VLOOKUP(C7,C1:E12,3,FALSE)</f>
        <v>80</v>
      </c>
      <c r="I7" s="3"/>
      <c r="J7" s="9" t="s">
        <v>19</v>
      </c>
      <c r="K7" s="10">
        <f>VLOOKUP("Amit",A1:E12,3,FALSE)</f>
        <v>45000</v>
      </c>
      <c r="L7" s="11"/>
      <c r="M7" s="12"/>
      <c r="N7" s="13"/>
      <c r="R7" s="14"/>
    </row>
    <row r="8" spans="1:18">
      <c r="A8" t="s">
        <v>20</v>
      </c>
      <c r="B8" t="s">
        <v>15</v>
      </c>
      <c r="C8">
        <v>55000</v>
      </c>
      <c r="D8">
        <v>105000</v>
      </c>
      <c r="E8">
        <v>95</v>
      </c>
      <c r="G8" s="15"/>
      <c r="H8" s="16"/>
      <c r="I8" s="17"/>
      <c r="J8" s="18"/>
      <c r="K8" s="16"/>
      <c r="L8" s="11"/>
      <c r="M8" s="12" t="s">
        <v>8</v>
      </c>
      <c r="N8" s="13">
        <f>MATCH("Neha",A1:A12,0)</f>
        <v>7</v>
      </c>
      <c r="R8" s="14"/>
    </row>
    <row r="9" spans="1:18">
      <c r="A9" t="s">
        <v>21</v>
      </c>
      <c r="B9" t="s">
        <v>3</v>
      </c>
      <c r="C9">
        <v>36000</v>
      </c>
      <c r="D9">
        <v>72000</v>
      </c>
      <c r="E9">
        <v>68</v>
      </c>
      <c r="G9" s="9"/>
      <c r="H9" s="19"/>
      <c r="I9" s="4" t="s">
        <v>22</v>
      </c>
      <c r="J9" s="20"/>
      <c r="K9" s="19"/>
      <c r="L9" s="11"/>
      <c r="M9" s="12"/>
      <c r="N9" s="13" t="str">
        <f>INDEX(A1:E12,7,1)</f>
        <v>Neha</v>
      </c>
      <c r="R9" s="14"/>
    </row>
    <row r="10" spans="1:18">
      <c r="A10" t="s">
        <v>23</v>
      </c>
      <c r="B10" t="s">
        <v>15</v>
      </c>
      <c r="C10">
        <v>48000</v>
      </c>
      <c r="D10">
        <v>90000</v>
      </c>
      <c r="E10">
        <v>85</v>
      </c>
      <c r="G10" s="9" t="s">
        <v>18</v>
      </c>
      <c r="H10" s="19">
        <f>HLOOKUP(E1,A1:E12,12,FALSE)</f>
        <v>95</v>
      </c>
      <c r="I10" s="11"/>
      <c r="J10" s="9" t="s">
        <v>24</v>
      </c>
      <c r="K10" s="19" t="str">
        <f>HLOOKUP(A1,A1:E12,8,FALSE)</f>
        <v>Rohit</v>
      </c>
      <c r="L10" s="11"/>
      <c r="M10" s="12"/>
      <c r="N10" s="21"/>
      <c r="R10" s="14"/>
    </row>
    <row r="11" spans="1:18">
      <c r="A11" t="s">
        <v>25</v>
      </c>
      <c r="B11" t="s">
        <v>11</v>
      </c>
      <c r="C11">
        <v>39000</v>
      </c>
      <c r="D11">
        <v>58000</v>
      </c>
      <c r="E11">
        <v>70</v>
      </c>
      <c r="G11" s="9"/>
      <c r="H11" s="19"/>
      <c r="I11" s="11"/>
      <c r="J11" s="20"/>
      <c r="K11" s="22"/>
      <c r="L11" s="11"/>
      <c r="M11" s="12"/>
      <c r="N11" s="21"/>
      <c r="R11" s="14"/>
    </row>
    <row r="12" spans="1:18">
      <c r="A12" t="s">
        <v>20</v>
      </c>
      <c r="B12" t="s">
        <v>15</v>
      </c>
      <c r="C12">
        <v>55000</v>
      </c>
      <c r="D12">
        <v>105000</v>
      </c>
      <c r="E12">
        <v>95</v>
      </c>
      <c r="G12" s="9"/>
      <c r="H12" s="19"/>
      <c r="I12" s="11"/>
      <c r="J12" s="20"/>
      <c r="K12" s="22"/>
      <c r="L12" s="11"/>
      <c r="M12" s="23" t="s">
        <v>8</v>
      </c>
      <c r="N12" s="24">
        <f>MATCH("Pooja",A1:A12,0)</f>
        <v>9</v>
      </c>
      <c r="R12" s="14"/>
    </row>
    <row r="13" spans="1:18">
      <c r="G13" s="9" t="s">
        <v>5</v>
      </c>
      <c r="H13" s="19">
        <f>HLOOKUP(D1,A1:E12,8,FALSE)</f>
        <v>105000</v>
      </c>
      <c r="I13" s="11"/>
      <c r="J13" s="9" t="s">
        <v>19</v>
      </c>
      <c r="K13" s="19">
        <f>HLOOKUP(C1,A1:E12,9,FALSE)</f>
        <v>36000</v>
      </c>
      <c r="L13" s="11"/>
      <c r="M13" s="23"/>
      <c r="N13" s="25" t="str" cm="1">
        <f t="array" ref="N13:R13">INDEX(A1:E12,N12,0)</f>
        <v>Pooja</v>
      </c>
      <c r="O13" s="26" t="str">
        <v>Sales</v>
      </c>
      <c r="P13" s="26">
        <v>36000</v>
      </c>
      <c r="Q13" s="26">
        <v>72000</v>
      </c>
      <c r="R13" s="27">
        <v>68</v>
      </c>
    </row>
    <row r="14" spans="1:18">
      <c r="G14" s="9"/>
      <c r="H14" s="19"/>
      <c r="I14" s="11"/>
      <c r="J14" s="20"/>
      <c r="K14" s="22"/>
      <c r="L14" s="11"/>
      <c r="M14" s="12"/>
      <c r="N14" s="21"/>
      <c r="R14" s="14"/>
    </row>
    <row r="15" spans="1:18">
      <c r="A15" s="1" t="s">
        <v>18</v>
      </c>
      <c r="B15" s="28">
        <f>_xlfn.XLOOKUP("Rahul",A1:A12,E1:E12,"no",0)</f>
        <v>82</v>
      </c>
      <c r="C15" s="29" t="s">
        <v>26</v>
      </c>
      <c r="D15" s="1" t="s">
        <v>13</v>
      </c>
      <c r="E15" s="28" t="str">
        <f>_xlfn.XLOOKUP("Karan",A1:A12,B1:B12,"no",0)</f>
        <v>Sales</v>
      </c>
      <c r="G15" s="9"/>
      <c r="H15" s="19"/>
      <c r="I15" s="11"/>
      <c r="J15" s="20"/>
      <c r="K15" s="22"/>
      <c r="L15" s="11"/>
      <c r="M15" s="30" t="s">
        <v>27</v>
      </c>
      <c r="N15" s="31" t="str" cm="1">
        <f t="array" ref="N15">INDEX(A1:E12,MATCH("Sneha",A1:A12,0),1)</f>
        <v>Sneha</v>
      </c>
      <c r="O15" s="32"/>
      <c r="P15" s="32"/>
      <c r="Q15" s="32"/>
      <c r="R15" s="33"/>
    </row>
    <row r="16" spans="1:18">
      <c r="A16" s="20"/>
      <c r="B16" s="34"/>
      <c r="C16" s="29"/>
      <c r="D16" s="20"/>
      <c r="E16" s="35"/>
      <c r="G16" s="15" t="s">
        <v>13</v>
      </c>
      <c r="H16" s="36" t="str">
        <f>HLOOKUP(B1,A1:E12,7,FALSE)</f>
        <v>HR</v>
      </c>
      <c r="I16" s="37"/>
      <c r="J16" s="15" t="s">
        <v>18</v>
      </c>
      <c r="K16" s="36">
        <f>HLOOKUP(E1,A1:E12,2,FALSE)</f>
        <v>82</v>
      </c>
      <c r="L16" s="37"/>
    </row>
    <row r="17" spans="1:8">
      <c r="A17" s="9" t="s">
        <v>5</v>
      </c>
      <c r="B17" s="34">
        <f>_xlfn.XLOOKUP("IT",B1:B12,D1:D12,"no",0)</f>
        <v>70000</v>
      </c>
      <c r="C17" s="29"/>
      <c r="D17" s="9" t="s">
        <v>24</v>
      </c>
      <c r="E17" s="34" t="str">
        <f>_xlfn.XLOOKUP("HR",B1:B12,A1:A12,"no",0)</f>
        <v>Priya</v>
      </c>
    </row>
    <row r="18" spans="1:8">
      <c r="A18" s="20"/>
      <c r="B18" s="35"/>
      <c r="C18" s="29"/>
      <c r="D18" s="20"/>
      <c r="E18" s="35"/>
      <c r="G18" s="38"/>
      <c r="H18" s="38"/>
    </row>
    <row r="19" spans="1:8">
      <c r="A19" s="15" t="s">
        <v>19</v>
      </c>
      <c r="B19" s="39">
        <f>_xlfn.XLOOKUP("Neha",A1:A12,C1:C12,"no",0)</f>
        <v>42000</v>
      </c>
      <c r="C19" s="29"/>
      <c r="D19" s="15" t="s">
        <v>5</v>
      </c>
      <c r="E19" s="39">
        <f>_xlfn.XLOOKUP(95,E1:E12,D1:D12,"no",0)</f>
        <v>105000</v>
      </c>
    </row>
  </sheetData>
  <mergeCells count="5">
    <mergeCell ref="G18:H18"/>
    <mergeCell ref="C15:C19"/>
    <mergeCell ref="I1:I8"/>
    <mergeCell ref="I9:I16"/>
    <mergeCell ref="L1:L16"/>
  </mergeCells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 Jadhav</dc:creator>
  <cp:lastModifiedBy>Nilesh Harale</cp:lastModifiedBy>
  <dcterms:created xsi:type="dcterms:W3CDTF">2026-09-24T03:49:00Z</dcterms:created>
  <dcterms:modified xsi:type="dcterms:W3CDTF">2026-09-26T11:32:31Z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423DED237D4846B687E542E8EAFF5503_13</vt:lpwstr>
  </property>
  <property fmtid="{D5CDD505-2E9C-101B-9397-08002B2CF9AE}" pid="3" name="KSOProductBuildVer">
    <vt:lpwstr>1033-12.1.0.28096</vt:lpwstr>
  </property>
  <property fmtid="{D5CDD505-2E9C-101B-9397-08002B2CF9AE}" pid="4" name="CalculationRule">
    <vt:i4>0</vt:i4>
  </property>
</Properties>
</file>